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3640" windowHeight="15915"/>
  </bookViews>
  <sheets>
    <sheet name="Rev History" sheetId="5" r:id="rId1"/>
    <sheet name="MAT1" sheetId="1" r:id="rId2"/>
    <sheet name="MAT2" sheetId="2" r:id="rId3"/>
    <sheet name="MAT8" sheetId="6" r:id="rId4"/>
    <sheet name="Output" sheetId="4" r:id="rId5"/>
  </sheets>
  <functionGroups builtInGroupCount="17"/>
  <calcPr calcId="145621"/>
</workbook>
</file>

<file path=xl/calcChain.xml><?xml version="1.0" encoding="utf-8"?>
<calcChain xmlns="http://schemas.openxmlformats.org/spreadsheetml/2006/main">
  <c r="L20" i="6" l="1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5" i="1"/>
</calcChain>
</file>

<file path=xl/sharedStrings.xml><?xml version="1.0" encoding="utf-8"?>
<sst xmlns="http://schemas.openxmlformats.org/spreadsheetml/2006/main" count="206" uniqueCount="99">
  <si>
    <t>MAT1</t>
  </si>
  <si>
    <t>MID</t>
  </si>
  <si>
    <t>E</t>
  </si>
  <si>
    <t>G</t>
  </si>
  <si>
    <t>NU</t>
  </si>
  <si>
    <t>RHO</t>
  </si>
  <si>
    <t>A</t>
  </si>
  <si>
    <t>TREF</t>
  </si>
  <si>
    <t>GE</t>
  </si>
  <si>
    <t>ST</t>
  </si>
  <si>
    <t>SC</t>
  </si>
  <si>
    <t>SS</t>
  </si>
  <si>
    <t>MCSID</t>
  </si>
  <si>
    <t>Description</t>
  </si>
  <si>
    <t>X</t>
  </si>
  <si>
    <t>Write (X)</t>
  </si>
  <si>
    <t>Card Format</t>
  </si>
  <si>
    <t>Instructions:</t>
  </si>
  <si>
    <t>Press the macro button</t>
  </si>
  <si>
    <t>Rev</t>
  </si>
  <si>
    <t>v01</t>
  </si>
  <si>
    <t>Date</t>
  </si>
  <si>
    <t>Author</t>
  </si>
  <si>
    <t>C. Zellers</t>
  </si>
  <si>
    <t>$</t>
  </si>
  <si>
    <t>ENDDATA</t>
  </si>
  <si>
    <t>$$</t>
  </si>
  <si>
    <t>$$------------------------------------------------------------------------------$</t>
  </si>
  <si>
    <t>$$     HyperMesh name information for generic materials                         $</t>
  </si>
  <si>
    <t>$$                      Material Definition Cards                               $</t>
  </si>
  <si>
    <t>MAT2</t>
  </si>
  <si>
    <t>G11</t>
  </si>
  <si>
    <t>G12</t>
  </si>
  <si>
    <t>G13</t>
  </si>
  <si>
    <t>G22</t>
  </si>
  <si>
    <t>G23</t>
  </si>
  <si>
    <t>G33</t>
  </si>
  <si>
    <t>A1</t>
  </si>
  <si>
    <t>A2</t>
  </si>
  <si>
    <t>A3</t>
  </si>
  <si>
    <t>GE11</t>
  </si>
  <si>
    <t>GE12</t>
  </si>
  <si>
    <t>GE13</t>
  </si>
  <si>
    <t>GE22</t>
  </si>
  <si>
    <t>GE23</t>
  </si>
  <si>
    <t>GE33</t>
  </si>
  <si>
    <t>MAT8</t>
  </si>
  <si>
    <t>E1</t>
  </si>
  <si>
    <t>E2</t>
  </si>
  <si>
    <t>NU12</t>
  </si>
  <si>
    <t>G1Z</t>
  </si>
  <si>
    <t>G2Z</t>
  </si>
  <si>
    <t>Xt</t>
  </si>
  <si>
    <t>Xc</t>
  </si>
  <si>
    <t>Yx</t>
  </si>
  <si>
    <t>Yc</t>
  </si>
  <si>
    <t>S</t>
  </si>
  <si>
    <t>F12</t>
  </si>
  <si>
    <t>STRN</t>
  </si>
  <si>
    <t>Select which MAT Cards to output by placing an "X" (case doesn't matter) in column A next to the "MATX" in column B</t>
  </si>
  <si>
    <t>Fill in properties, as needed, according to the card format provided in rows 3-4 (ref the QRG if needed)</t>
  </si>
  <si>
    <t>Macro will output a .bdf file to the default working directory (Message box will show location at completion)</t>
  </si>
  <si>
    <t>The output data is also printed to the Output worksheet and can be copy/pasted if needed.</t>
  </si>
  <si>
    <t>Fill in properties, as needed, according to the card format provided in rows 2-4 (ref the QRG if needed)</t>
  </si>
  <si>
    <t>The Description value in Column L is used by hypermesh to assign material name.  Suggest making this as descriptive as needed.</t>
  </si>
  <si>
    <r>
      <t xml:space="preserve">Only use this worksheet for </t>
    </r>
    <r>
      <rPr>
        <sz val="10"/>
        <color rgb="FFFF0000"/>
        <rFont val="Courier New"/>
        <family val="3"/>
      </rPr>
      <t>NASTRAN MAT8 style card format</t>
    </r>
    <r>
      <rPr>
        <sz val="10"/>
        <color theme="1"/>
        <rFont val="Courier New"/>
        <family val="2"/>
      </rPr>
      <t xml:space="preserve"> for Isotropic materials</t>
    </r>
  </si>
  <si>
    <r>
      <t xml:space="preserve">Only use this worksheet for </t>
    </r>
    <r>
      <rPr>
        <sz val="10"/>
        <color rgb="FFFF0000"/>
        <rFont val="Courier New"/>
        <family val="3"/>
      </rPr>
      <t>NASTRAN MAT2 style card format</t>
    </r>
    <r>
      <rPr>
        <sz val="10"/>
        <color theme="1"/>
        <rFont val="Courier New"/>
        <family val="2"/>
      </rPr>
      <t xml:space="preserve"> for Isotropic materials</t>
    </r>
  </si>
  <si>
    <r>
      <t xml:space="preserve">Only use this worksheet for </t>
    </r>
    <r>
      <rPr>
        <sz val="10"/>
        <color rgb="FFFF0000"/>
        <rFont val="Courier New"/>
        <family val="3"/>
      </rPr>
      <t>NASTRAN MAT1 style card format</t>
    </r>
    <r>
      <rPr>
        <sz val="10"/>
        <color theme="1"/>
        <rFont val="Courier New"/>
        <family val="2"/>
      </rPr>
      <t xml:space="preserve"> for Isotropic materials</t>
    </r>
  </si>
  <si>
    <t>Disclaimer:</t>
  </si>
  <si>
    <t xml:space="preserve">End users should verify the material data which has been written to the .bdf files matches the values input.  </t>
  </si>
  <si>
    <t>Reference</t>
  </si>
  <si>
    <t>MMPDS-13</t>
  </si>
  <si>
    <t>yadda</t>
  </si>
  <si>
    <t>Initial Revision of tool to write input material properties to a nastran .bdf style format.
- Currently supports MAT1, MAT2, and MAT8 NASTRAN material definitions
- Should properly handle 1, 2, or 3 line MAT card inputs as needed.
- Writes a unique .bdf file for each card type (e.g. if you need all three materials, run all three macros)
- Output .bdf includes hypermesh 2019 style comments to populate material descriptions and material color (increments color # for each material) when imported to the a .HM model</t>
  </si>
  <si>
    <t>Material</t>
  </si>
  <si>
    <t>Specification</t>
  </si>
  <si>
    <t>Stock</t>
  </si>
  <si>
    <t>AL</t>
  </si>
  <si>
    <t>7075-T73511 AMS-QQ250</t>
  </si>
  <si>
    <t>0.125-0.250</t>
  </si>
  <si>
    <t>TI</t>
  </si>
  <si>
    <t>6AL-4V, AMS4930</t>
  </si>
  <si>
    <t>0.000-0.250"</t>
  </si>
  <si>
    <t>$$  MAT8 Data</t>
  </si>
  <si>
    <t>$HMNAME MAT                 3000"AL 7075-T73511 AMS-QQ250 0.125-0.250" "MAT8</t>
  </si>
  <si>
    <t>$HMCOLOR MAT                3000       2</t>
  </si>
  <si>
    <t>$HMNAME MAT                 3100"TI 6AL-4V, AMS4930 0.000-0.250"" "MAT8</t>
  </si>
  <si>
    <t>$HMCOLOR MAT                3100       3</t>
  </si>
  <si>
    <t>$HMNAME MAT                 3200"  " "MAT8</t>
  </si>
  <si>
    <t>$HMCOLOR MAT                3200       4</t>
  </si>
  <si>
    <t>$HMNAME MAT                 3300"  " "MAT8</t>
  </si>
  <si>
    <t>$HMCOLOR MAT                3300       5</t>
  </si>
  <si>
    <t xml:space="preserve">MAT8        3000 8.50+06 8.50+06 1.00-01 3.60+06 1.00+04 1.00+04 5.80-02        </t>
  </si>
  <si>
    <t xml:space="preserve">+        1.00-06 1.00-06 7.00+01 5.00-03 5.00-03 5.00-03 4.00-03        </t>
  </si>
  <si>
    <t xml:space="preserve">+                1.50+00 5.00-03                                                </t>
  </si>
  <si>
    <t xml:space="preserve">MAT8        3100 8.50+06 8.50+06 1.00-01 3.60+06 1.00+04 1.00+04 5.80-02        </t>
  </si>
  <si>
    <t xml:space="preserve">MAT8        3200 8.50+06 8.50+06 1.00-01 3.60+06 1.00+04 1.00+04 5.80-02        </t>
  </si>
  <si>
    <t xml:space="preserve">MAT8        3300 8.50+06 8.50+06 1.00-01 3.60+06 1.00+04 1.00+04 5.80-02        </t>
  </si>
  <si>
    <t>7075-T73511, AMS-QQ250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</si>
</sst>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mmmm\ d\,\ yyyy;@"/>
  </numFmts>
  <fonts count="7" x14ac:knownFonts="1">
    <font>
      <sz val="10"/>
      <color theme="1"/>
      <name val="Courier New"/>
      <family val="2"/>
    </font>
    <font>
      <b/>
      <sz val="10"/>
      <color theme="1"/>
      <name val="Courier New"/>
      <family val="3"/>
    </font>
    <font>
      <sz val="10"/>
      <color rgb="FFFF0000"/>
      <name val="Courier New"/>
      <family val="3"/>
    </font>
    <font>
      <b/>
      <sz val="12"/>
      <color theme="1"/>
      <name val="Courier New"/>
      <family val="3"/>
    </font>
    <font>
      <b/>
      <i/>
      <sz val="10"/>
      <color rgb="FFFF0000"/>
      <name val="Courier New"/>
      <family val="3"/>
    </font>
    <font>
      <b/>
      <sz val="14"/>
      <color theme="1"/>
      <name val="Courier New"/>
      <family val="3"/>
    </font>
    <font>
      <sz val="10"/>
      <color rgb="FF00000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5" xfId="0" applyFont="1" applyFill="1" applyBorder="1" applyAlignment="1">
      <alignment horizontal="center"/>
    </xf>
    <xf numFmtId="0" fontId="0" fillId="2" borderId="6" xfId="0" applyFont="1" applyFill="1" applyBorder="1" applyAlignment="1">
      <alignment horizontal="center"/>
    </xf>
    <xf numFmtId="0" fontId="0" fillId="2" borderId="7" xfId="0" applyFont="1" applyFill="1" applyBorder="1" applyAlignment="1">
      <alignment horizontal="center"/>
    </xf>
    <xf numFmtId="11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165" fontId="4" fillId="0" borderId="2" xfId="0" applyNumberFormat="1" applyFont="1" applyBorder="1" applyAlignment="1">
      <alignment horizontal="left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66675</xdr:rowOff>
        </xdr:from>
        <xdr:to>
          <xdr:col>17</xdr:col>
          <xdr:colOff>1543050</xdr:colOff>
          <xdr:row>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Gen MAT1 .bdf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14</xdr:row>
      <xdr:rowOff>0</xdr:rowOff>
    </xdr:from>
    <xdr:to>
      <xdr:col>26</xdr:col>
      <xdr:colOff>237213</xdr:colOff>
      <xdr:row>38</xdr:row>
      <xdr:rowOff>104248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640175" y="2438400"/>
          <a:ext cx="7295238" cy="4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66675</xdr:rowOff>
        </xdr:from>
        <xdr:to>
          <xdr:col>17</xdr:col>
          <xdr:colOff>1543050</xdr:colOff>
          <xdr:row>5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Gen MAT2 .bdf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0</xdr:colOff>
      <xdr:row>14</xdr:row>
      <xdr:rowOff>0</xdr:rowOff>
    </xdr:from>
    <xdr:to>
      <xdr:col>26</xdr:col>
      <xdr:colOff>256261</xdr:colOff>
      <xdr:row>36</xdr:row>
      <xdr:rowOff>9052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97200" y="2438400"/>
          <a:ext cx="7314286" cy="37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66675</xdr:rowOff>
        </xdr:from>
        <xdr:to>
          <xdr:col>17</xdr:col>
          <xdr:colOff>1543050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ourier New"/>
                  <a:cs typeface="Courier New"/>
                </a:rPr>
                <a:t>Gen MAT8 .bdf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14</xdr:row>
      <xdr:rowOff>0</xdr:rowOff>
    </xdr:from>
    <xdr:to>
      <xdr:col>26</xdr:col>
      <xdr:colOff>322927</xdr:colOff>
      <xdr:row>62</xdr:row>
      <xdr:rowOff>28192</xdr:rowOff>
    </xdr:to>
    <xdr:grpSp>
      <xdr:nvGrpSpPr>
        <xdr:cNvPr id="4" name="Group 3"/>
        <xdr:cNvGrpSpPr/>
      </xdr:nvGrpSpPr>
      <xdr:grpSpPr>
        <a:xfrm>
          <a:off x="15697200" y="2438400"/>
          <a:ext cx="7380952" cy="8257792"/>
          <a:chOff x="15697200" y="2438400"/>
          <a:chExt cx="7380952" cy="8257792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5697200" y="2438400"/>
            <a:ext cx="7361905" cy="5542857"/>
          </a:xfrm>
          <a:prstGeom prst="rect">
            <a:avLst/>
          </a:prstGeom>
        </xdr:spPr>
      </xdr:pic>
      <xdr:pic>
        <xdr:nvPicPr>
          <xdr:cNvPr id="3" name="Picture 2"/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11803"/>
          <a:stretch/>
        </xdr:blipFill>
        <xdr:spPr>
          <a:xfrm>
            <a:off x="15697200" y="7991475"/>
            <a:ext cx="7380952" cy="2704717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3"/>
  <sheetViews>
    <sheetView showGridLines="0" tabSelected="1" view="pageBreakPreview" zoomScaleNormal="100" zoomScaleSheetLayoutView="100" workbookViewId="0">
      <selection activeCell="D3" sqref="D3"/>
    </sheetView>
  </sheetViews>
  <sheetFormatPr defaultRowHeight="13.5" x14ac:dyDescent="0.25"/>
  <cols>
    <col min="1" max="1" width="3.125" style="5" customWidth="1"/>
    <col min="2" max="2" width="9" style="5"/>
    <col min="3" max="3" width="19.125" style="21" bestFit="1" customWidth="1"/>
    <col min="4" max="4" width="16.375" style="5" customWidth="1"/>
    <col min="5" max="5" width="100.625" style="6" customWidth="1"/>
    <col min="6" max="16384" width="9" style="5"/>
  </cols>
  <sheetData>
    <row r="1" spans="2:5" ht="27" x14ac:dyDescent="0.25">
      <c r="C1" s="5"/>
      <c r="D1" s="24" t="s">
        <v>68</v>
      </c>
      <c r="E1" s="25" t="s">
        <v>69</v>
      </c>
    </row>
    <row r="5" spans="2:5" x14ac:dyDescent="0.25">
      <c r="B5" s="5" t="s">
        <v>19</v>
      </c>
      <c r="C5" s="21" t="s">
        <v>21</v>
      </c>
      <c r="D5" s="5" t="s">
        <v>22</v>
      </c>
      <c r="E5" s="5" t="s">
        <v>13</v>
      </c>
    </row>
    <row r="6" spans="2:5" ht="94.5" x14ac:dyDescent="0.25">
      <c r="B6" s="7" t="s">
        <v>20</v>
      </c>
      <c r="C6" s="22">
        <v>44093</v>
      </c>
      <c r="D6" s="7" t="s">
        <v>23</v>
      </c>
      <c r="E6" s="8" t="s">
        <v>73</v>
      </c>
    </row>
    <row r="7" spans="2:5" ht="42" customHeight="1" x14ac:dyDescent="0.25">
      <c r="B7" s="7"/>
      <c r="C7" s="22"/>
      <c r="D7" s="7"/>
      <c r="E7" s="8"/>
    </row>
    <row r="8" spans="2:5" ht="42" customHeight="1" x14ac:dyDescent="0.25">
      <c r="B8" s="7"/>
      <c r="C8" s="22"/>
      <c r="D8" s="7"/>
      <c r="E8" s="8"/>
    </row>
    <row r="9" spans="2:5" ht="42" customHeight="1" x14ac:dyDescent="0.25">
      <c r="B9" s="7"/>
      <c r="C9" s="22"/>
      <c r="D9" s="7"/>
      <c r="E9" s="8"/>
    </row>
    <row r="10" spans="2:5" ht="42" customHeight="1" x14ac:dyDescent="0.25">
      <c r="B10" s="7"/>
      <c r="C10" s="22"/>
      <c r="D10" s="7"/>
      <c r="E10" s="8"/>
    </row>
    <row r="11" spans="2:5" ht="42" customHeight="1" x14ac:dyDescent="0.25">
      <c r="B11" s="7"/>
      <c r="C11" s="22"/>
      <c r="D11" s="7"/>
      <c r="E11" s="8"/>
    </row>
    <row r="12" spans="2:5" ht="42" customHeight="1" x14ac:dyDescent="0.25">
      <c r="B12" s="7"/>
      <c r="C12" s="22"/>
      <c r="D12" s="7"/>
      <c r="E12" s="8"/>
    </row>
    <row r="13" spans="2:5" ht="42" customHeight="1" x14ac:dyDescent="0.25">
      <c r="B13" s="7"/>
      <c r="C13" s="22"/>
      <c r="D13" s="7"/>
      <c r="E13" s="8"/>
    </row>
    <row r="14" spans="2:5" ht="42" customHeight="1" x14ac:dyDescent="0.25">
      <c r="B14" s="7"/>
      <c r="C14" s="22"/>
      <c r="D14" s="7"/>
      <c r="E14" s="8"/>
    </row>
    <row r="15" spans="2:5" ht="42" customHeight="1" x14ac:dyDescent="0.25">
      <c r="B15" s="7"/>
      <c r="C15" s="22"/>
      <c r="D15" s="7"/>
      <c r="E15" s="8"/>
    </row>
    <row r="16" spans="2:5" ht="42" customHeight="1" x14ac:dyDescent="0.25">
      <c r="B16" s="7"/>
      <c r="C16" s="22"/>
      <c r="D16" s="7"/>
      <c r="E16" s="8"/>
    </row>
    <row r="17" spans="2:5" ht="42" customHeight="1" x14ac:dyDescent="0.25">
      <c r="B17" s="7"/>
      <c r="C17" s="22"/>
      <c r="D17" s="7"/>
      <c r="E17" s="8"/>
    </row>
    <row r="18" spans="2:5" ht="42" customHeight="1" x14ac:dyDescent="0.25">
      <c r="B18" s="7"/>
      <c r="C18" s="22"/>
      <c r="D18" s="7"/>
      <c r="E18" s="8"/>
    </row>
    <row r="19" spans="2:5" ht="42" customHeight="1" x14ac:dyDescent="0.25">
      <c r="B19" s="7"/>
      <c r="C19" s="22"/>
      <c r="D19" s="7"/>
      <c r="E19" s="8"/>
    </row>
    <row r="20" spans="2:5" ht="42" customHeight="1" x14ac:dyDescent="0.25">
      <c r="B20" s="7"/>
      <c r="C20" s="22"/>
      <c r="D20" s="7"/>
      <c r="E20" s="8"/>
    </row>
    <row r="21" spans="2:5" ht="42" customHeight="1" x14ac:dyDescent="0.25">
      <c r="B21" s="7"/>
      <c r="C21" s="22"/>
      <c r="D21" s="7"/>
      <c r="E21" s="8"/>
    </row>
    <row r="22" spans="2:5" ht="42" customHeight="1" x14ac:dyDescent="0.25">
      <c r="B22" s="7"/>
      <c r="C22" s="22"/>
      <c r="D22" s="7"/>
      <c r="E22" s="8"/>
    </row>
    <row r="23" spans="2:5" ht="42" customHeight="1" x14ac:dyDescent="0.25">
      <c r="B23" s="7"/>
      <c r="C23" s="22"/>
      <c r="D23" s="7"/>
      <c r="E23" s="8"/>
    </row>
  </sheetData>
  <pageMargins left="0.7" right="0.7" top="0.75" bottom="0.75" header="0.3" footer="0.3"/>
  <pageSetup scale="57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"/>
  <sheetViews>
    <sheetView showGridLines="0" workbookViewId="0">
      <selection activeCell="R15" sqref="R15"/>
    </sheetView>
  </sheetViews>
  <sheetFormatPr defaultRowHeight="13.5" x14ac:dyDescent="0.25"/>
  <cols>
    <col min="1" max="1" width="9.875" style="1" bestFit="1" customWidth="1"/>
    <col min="2" max="2" width="9.125" style="3" customWidth="1"/>
    <col min="3" max="11" width="9.125" style="1" customWidth="1"/>
    <col min="12" max="12" width="37.75" style="14" bestFit="1" customWidth="1"/>
    <col min="13" max="16" width="17.625" style="14" customWidth="1"/>
    <col min="17" max="17" width="9" style="1"/>
    <col min="18" max="18" width="20.625" style="4" customWidth="1"/>
    <col min="19" max="16384" width="9" style="1"/>
  </cols>
  <sheetData>
    <row r="1" spans="1:18" x14ac:dyDescent="0.25">
      <c r="A1" s="1" t="s">
        <v>15</v>
      </c>
      <c r="B1" s="3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3" spans="1:18" x14ac:dyDescent="0.25">
      <c r="A3" s="26" t="s">
        <v>16</v>
      </c>
      <c r="B3" s="9" t="s">
        <v>0</v>
      </c>
      <c r="C3" s="10" t="s">
        <v>1</v>
      </c>
      <c r="D3" s="10" t="s">
        <v>2</v>
      </c>
      <c r="E3" s="10" t="s">
        <v>3</v>
      </c>
      <c r="F3" s="10" t="s">
        <v>4</v>
      </c>
      <c r="G3" s="11" t="s">
        <v>5</v>
      </c>
      <c r="H3" s="11" t="s">
        <v>6</v>
      </c>
      <c r="I3" s="11" t="s">
        <v>7</v>
      </c>
      <c r="J3" s="11" t="s">
        <v>8</v>
      </c>
      <c r="K3" s="12"/>
    </row>
    <row r="4" spans="1:18" x14ac:dyDescent="0.25">
      <c r="A4" s="27"/>
      <c r="B4" s="13"/>
      <c r="C4" s="11" t="s">
        <v>9</v>
      </c>
      <c r="D4" s="11" t="s">
        <v>10</v>
      </c>
      <c r="E4" s="11" t="s">
        <v>11</v>
      </c>
      <c r="F4" s="11" t="s">
        <v>12</v>
      </c>
      <c r="G4" s="11"/>
      <c r="H4" s="11"/>
      <c r="I4" s="11"/>
      <c r="J4" s="11"/>
      <c r="K4" s="12"/>
      <c r="L4" s="15" t="s">
        <v>13</v>
      </c>
      <c r="M4" s="15" t="s">
        <v>74</v>
      </c>
      <c r="N4" s="15" t="s">
        <v>75</v>
      </c>
      <c r="O4" s="15" t="s">
        <v>76</v>
      </c>
      <c r="P4" s="15" t="s">
        <v>70</v>
      </c>
    </row>
    <row r="5" spans="1:18" x14ac:dyDescent="0.25">
      <c r="A5" s="1" t="s">
        <v>14</v>
      </c>
      <c r="B5" s="3" t="s">
        <v>0</v>
      </c>
      <c r="C5" s="1">
        <v>100</v>
      </c>
      <c r="D5" s="2">
        <v>10000000</v>
      </c>
      <c r="E5" s="2">
        <v>4000000</v>
      </c>
      <c r="F5" s="1">
        <v>0.33</v>
      </c>
      <c r="I5" s="1">
        <v>70</v>
      </c>
      <c r="L5" s="14" t="str">
        <f>M5&amp;" "&amp;N5&amp;" "&amp;O5</f>
        <v>AL 7075-T73511, AMS-QQ250 0.125-0.250</v>
      </c>
      <c r="M5" s="14" t="s">
        <v>77</v>
      </c>
      <c r="N5" s="14" t="s">
        <v>98</v>
      </c>
      <c r="O5" s="14" t="s">
        <v>79</v>
      </c>
      <c r="P5" s="14" t="s">
        <v>71</v>
      </c>
    </row>
    <row r="6" spans="1:18" x14ac:dyDescent="0.25">
      <c r="C6" s="2">
        <v>65000</v>
      </c>
      <c r="D6" s="2">
        <v>45000</v>
      </c>
      <c r="E6" s="2">
        <v>44000</v>
      </c>
      <c r="F6" s="2">
        <v>3</v>
      </c>
      <c r="L6" s="14" t="str">
        <f t="shared" ref="L6:L20" si="0">M6&amp;" "&amp;N6&amp;" "&amp;O6</f>
        <v xml:space="preserve">  </v>
      </c>
    </row>
    <row r="7" spans="1:18" ht="16.5" x14ac:dyDescent="0.25">
      <c r="A7" s="1" t="s">
        <v>14</v>
      </c>
      <c r="B7" s="3" t="s">
        <v>0</v>
      </c>
      <c r="C7" s="1">
        <v>300</v>
      </c>
      <c r="D7" s="2">
        <v>16000000</v>
      </c>
      <c r="E7" s="2">
        <v>7000000</v>
      </c>
      <c r="F7" s="1">
        <v>0.31</v>
      </c>
      <c r="I7" s="1">
        <v>70</v>
      </c>
      <c r="L7" s="14" t="str">
        <f t="shared" si="0"/>
        <v>TI 6AL-4V, AMS4930 0.000-0.250"</v>
      </c>
      <c r="M7" s="14" t="s">
        <v>80</v>
      </c>
      <c r="N7" s="14" t="s">
        <v>81</v>
      </c>
      <c r="O7" s="14" t="s">
        <v>82</v>
      </c>
      <c r="R7" s="23" t="s">
        <v>17</v>
      </c>
    </row>
    <row r="8" spans="1:18" x14ac:dyDescent="0.25">
      <c r="C8" s="2">
        <v>100000</v>
      </c>
      <c r="D8" s="2">
        <v>60000</v>
      </c>
      <c r="E8" s="2">
        <v>60000</v>
      </c>
      <c r="F8" s="2"/>
      <c r="L8" s="14" t="str">
        <f t="shared" si="0"/>
        <v xml:space="preserve">  </v>
      </c>
      <c r="R8" s="4" t="s">
        <v>67</v>
      </c>
    </row>
    <row r="9" spans="1:18" x14ac:dyDescent="0.25">
      <c r="A9" s="1" t="s">
        <v>14</v>
      </c>
      <c r="B9" s="3" t="s">
        <v>0</v>
      </c>
      <c r="C9" s="1">
        <v>400</v>
      </c>
      <c r="D9" s="2">
        <v>16000000</v>
      </c>
      <c r="E9" s="2">
        <v>7000000</v>
      </c>
      <c r="F9" s="1">
        <v>0.31</v>
      </c>
      <c r="I9" s="1">
        <v>70</v>
      </c>
      <c r="L9" s="14" t="str">
        <f t="shared" si="0"/>
        <v xml:space="preserve">  </v>
      </c>
      <c r="R9" s="4" t="s">
        <v>59</v>
      </c>
    </row>
    <row r="10" spans="1:18" x14ac:dyDescent="0.25">
      <c r="A10" s="1" t="s">
        <v>14</v>
      </c>
      <c r="B10" s="3" t="s">
        <v>0</v>
      </c>
      <c r="C10" s="1">
        <v>500</v>
      </c>
      <c r="D10" s="2">
        <v>16000000</v>
      </c>
      <c r="E10" s="2">
        <v>7000000</v>
      </c>
      <c r="F10" s="1">
        <v>0.31</v>
      </c>
      <c r="I10" s="1">
        <v>70</v>
      </c>
      <c r="L10" s="14" t="str">
        <f t="shared" si="0"/>
        <v xml:space="preserve">  </v>
      </c>
      <c r="R10" s="4" t="s">
        <v>60</v>
      </c>
    </row>
    <row r="11" spans="1:18" x14ac:dyDescent="0.25">
      <c r="A11" s="1" t="s">
        <v>14</v>
      </c>
      <c r="B11" s="3" t="s">
        <v>0</v>
      </c>
      <c r="C11" s="1">
        <v>800</v>
      </c>
      <c r="D11" s="2">
        <v>16000000</v>
      </c>
      <c r="E11" s="2">
        <v>7000000</v>
      </c>
      <c r="F11" s="1">
        <v>0.31</v>
      </c>
      <c r="I11" s="1">
        <v>70</v>
      </c>
      <c r="L11" s="14" t="str">
        <f t="shared" si="0"/>
        <v xml:space="preserve">  </v>
      </c>
      <c r="R11" s="4" t="s">
        <v>64</v>
      </c>
    </row>
    <row r="12" spans="1:18" x14ac:dyDescent="0.25">
      <c r="C12" s="2">
        <v>100000</v>
      </c>
      <c r="D12" s="2">
        <v>60000</v>
      </c>
      <c r="E12" s="2">
        <v>60000</v>
      </c>
      <c r="F12" s="2"/>
      <c r="L12" s="14" t="str">
        <f t="shared" si="0"/>
        <v xml:space="preserve">  </v>
      </c>
      <c r="R12" s="4" t="s">
        <v>18</v>
      </c>
    </row>
    <row r="13" spans="1:18" x14ac:dyDescent="0.25">
      <c r="L13" s="14" t="str">
        <f t="shared" si="0"/>
        <v xml:space="preserve">  </v>
      </c>
      <c r="R13" s="4" t="s">
        <v>61</v>
      </c>
    </row>
    <row r="14" spans="1:18" x14ac:dyDescent="0.25">
      <c r="L14" s="14" t="str">
        <f t="shared" si="0"/>
        <v xml:space="preserve">  </v>
      </c>
      <c r="R14" s="4" t="s">
        <v>62</v>
      </c>
    </row>
    <row r="15" spans="1:18" x14ac:dyDescent="0.25">
      <c r="L15" s="14" t="str">
        <f t="shared" si="0"/>
        <v xml:space="preserve">  </v>
      </c>
    </row>
    <row r="16" spans="1:18" x14ac:dyDescent="0.25">
      <c r="L16" s="14" t="str">
        <f t="shared" si="0"/>
        <v xml:space="preserve">  </v>
      </c>
    </row>
    <row r="17" spans="12:12" x14ac:dyDescent="0.25">
      <c r="L17" s="14" t="str">
        <f t="shared" si="0"/>
        <v xml:space="preserve">  </v>
      </c>
    </row>
    <row r="18" spans="12:12" x14ac:dyDescent="0.25">
      <c r="L18" s="14" t="str">
        <f t="shared" si="0"/>
        <v xml:space="preserve">  </v>
      </c>
    </row>
    <row r="19" spans="12:12" x14ac:dyDescent="0.25">
      <c r="L19" s="14" t="str">
        <f t="shared" si="0"/>
        <v xml:space="preserve">  </v>
      </c>
    </row>
    <row r="20" spans="12:12" x14ac:dyDescent="0.25">
      <c r="L20" s="14" t="str">
        <f t="shared" si="0"/>
        <v xml:space="preserve">  </v>
      </c>
    </row>
  </sheetData>
  <mergeCells count="1">
    <mergeCell ref="A3:A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GenerateMATbdf">
                <anchor moveWithCells="1" sizeWithCells="1">
                  <from>
                    <xdr:col>17</xdr:col>
                    <xdr:colOff>9525</xdr:colOff>
                    <xdr:row>1</xdr:row>
                    <xdr:rowOff>66675</xdr:rowOff>
                  </from>
                  <to>
                    <xdr:col>17</xdr:col>
                    <xdr:colOff>1543050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20"/>
  <sheetViews>
    <sheetView showGridLines="0" workbookViewId="0">
      <selection activeCell="R15" sqref="R15"/>
    </sheetView>
  </sheetViews>
  <sheetFormatPr defaultRowHeight="13.5" x14ac:dyDescent="0.25"/>
  <cols>
    <col min="1" max="1" width="9.875" style="1" bestFit="1" customWidth="1"/>
    <col min="2" max="2" width="9.125" style="3" customWidth="1"/>
    <col min="3" max="11" width="9.125" style="1" customWidth="1"/>
    <col min="12" max="12" width="37.75" style="14" bestFit="1" customWidth="1"/>
    <col min="13" max="13" width="8.875" style="14" bestFit="1" customWidth="1"/>
    <col min="14" max="14" width="22.25" style="14" bestFit="1" customWidth="1"/>
    <col min="15" max="15" width="13" style="14" bestFit="1" customWidth="1"/>
    <col min="16" max="16" width="14" style="14" bestFit="1" customWidth="1"/>
    <col min="17" max="17" width="9" style="1"/>
    <col min="18" max="18" width="20.625" style="4" customWidth="1"/>
    <col min="19" max="16384" width="9" style="1"/>
  </cols>
  <sheetData>
    <row r="1" spans="1:18" x14ac:dyDescent="0.25">
      <c r="A1" s="1" t="s">
        <v>15</v>
      </c>
      <c r="B1" s="3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8" x14ac:dyDescent="0.25">
      <c r="A2" s="26" t="s">
        <v>16</v>
      </c>
      <c r="B2" s="9" t="s">
        <v>30</v>
      </c>
      <c r="C2" s="10" t="s">
        <v>1</v>
      </c>
      <c r="D2" s="10" t="s">
        <v>31</v>
      </c>
      <c r="E2" s="10" t="s">
        <v>32</v>
      </c>
      <c r="F2" s="10" t="s">
        <v>33</v>
      </c>
      <c r="G2" s="11" t="s">
        <v>34</v>
      </c>
      <c r="H2" s="11" t="s">
        <v>35</v>
      </c>
      <c r="I2" s="11" t="s">
        <v>36</v>
      </c>
      <c r="J2" s="11" t="s">
        <v>5</v>
      </c>
      <c r="K2" s="12"/>
    </row>
    <row r="3" spans="1:18" x14ac:dyDescent="0.25">
      <c r="A3" s="28"/>
      <c r="B3" s="9" t="s">
        <v>37</v>
      </c>
      <c r="C3" s="10" t="s">
        <v>38</v>
      </c>
      <c r="D3" s="10" t="s">
        <v>39</v>
      </c>
      <c r="E3" s="10" t="s">
        <v>7</v>
      </c>
      <c r="F3" s="10" t="s">
        <v>8</v>
      </c>
      <c r="G3" s="11" t="s">
        <v>9</v>
      </c>
      <c r="H3" s="11" t="s">
        <v>10</v>
      </c>
      <c r="I3" s="11" t="s">
        <v>11</v>
      </c>
      <c r="J3" s="11"/>
      <c r="K3" s="12"/>
    </row>
    <row r="4" spans="1:18" x14ac:dyDescent="0.25">
      <c r="A4" s="27"/>
      <c r="B4" s="17" t="s">
        <v>12</v>
      </c>
      <c r="C4" s="18" t="s">
        <v>40</v>
      </c>
      <c r="D4" s="18" t="s">
        <v>41</v>
      </c>
      <c r="E4" s="18" t="s">
        <v>42</v>
      </c>
      <c r="F4" s="18" t="s">
        <v>43</v>
      </c>
      <c r="G4" s="18" t="s">
        <v>44</v>
      </c>
      <c r="H4" s="18" t="s">
        <v>45</v>
      </c>
      <c r="I4" s="18"/>
      <c r="J4" s="18"/>
      <c r="K4" s="19"/>
      <c r="L4" s="15" t="s">
        <v>13</v>
      </c>
      <c r="M4" s="15" t="s">
        <v>74</v>
      </c>
      <c r="N4" s="15" t="s">
        <v>75</v>
      </c>
      <c r="O4" s="15" t="s">
        <v>76</v>
      </c>
      <c r="P4" s="15" t="s">
        <v>70</v>
      </c>
    </row>
    <row r="5" spans="1:18" x14ac:dyDescent="0.25">
      <c r="A5" s="1" t="s">
        <v>14</v>
      </c>
      <c r="B5" s="3" t="s">
        <v>30</v>
      </c>
      <c r="C5" s="1">
        <v>1000</v>
      </c>
      <c r="D5" s="2">
        <v>1000000</v>
      </c>
      <c r="E5" s="2">
        <v>2000000</v>
      </c>
      <c r="F5" s="2">
        <v>3000000</v>
      </c>
      <c r="G5" s="2">
        <v>4000000</v>
      </c>
      <c r="H5" s="2">
        <v>5000000</v>
      </c>
      <c r="I5" s="2">
        <v>7000000</v>
      </c>
      <c r="L5" s="14" t="str">
        <f>M5&amp;" "&amp;N5&amp;" "&amp;O5</f>
        <v>AL 7075-T73511 AMS-QQ250 0.125-0.250</v>
      </c>
      <c r="M5" s="14" t="s">
        <v>77</v>
      </c>
      <c r="N5" s="14" t="s">
        <v>78</v>
      </c>
      <c r="O5" s="14" t="s">
        <v>79</v>
      </c>
      <c r="P5" s="14" t="s">
        <v>71</v>
      </c>
    </row>
    <row r="6" spans="1:18" x14ac:dyDescent="0.25">
      <c r="B6" s="20">
        <v>8000000</v>
      </c>
      <c r="C6" s="2">
        <v>9000000</v>
      </c>
      <c r="D6" s="2">
        <v>10000000</v>
      </c>
      <c r="E6" s="16">
        <v>70</v>
      </c>
      <c r="F6" s="2">
        <v>12000000</v>
      </c>
      <c r="G6" s="2">
        <v>13000000</v>
      </c>
      <c r="H6" s="2">
        <v>14000000</v>
      </c>
      <c r="I6" s="2">
        <v>15000000</v>
      </c>
      <c r="L6" s="14" t="str">
        <f t="shared" ref="L6:L20" si="0">M6&amp;" "&amp;N6&amp;" "&amp;O6</f>
        <v xml:space="preserve">  </v>
      </c>
    </row>
    <row r="7" spans="1:18" ht="16.5" x14ac:dyDescent="0.25">
      <c r="B7" s="3">
        <v>1000</v>
      </c>
      <c r="C7" s="1">
        <v>2000</v>
      </c>
      <c r="D7" s="1">
        <v>3000</v>
      </c>
      <c r="E7" s="1">
        <v>4000</v>
      </c>
      <c r="F7" s="1">
        <v>5000</v>
      </c>
      <c r="G7" s="1">
        <v>6000</v>
      </c>
      <c r="H7" s="1">
        <v>7000</v>
      </c>
      <c r="L7" s="14" t="str">
        <f t="shared" si="0"/>
        <v xml:space="preserve">  </v>
      </c>
      <c r="R7" s="23" t="s">
        <v>17</v>
      </c>
    </row>
    <row r="8" spans="1:18" x14ac:dyDescent="0.25">
      <c r="A8" s="1" t="s">
        <v>14</v>
      </c>
      <c r="B8" s="3" t="s">
        <v>30</v>
      </c>
      <c r="C8" s="1">
        <v>3000</v>
      </c>
      <c r="D8" s="2">
        <v>2000000</v>
      </c>
      <c r="E8" s="2">
        <v>9500000</v>
      </c>
      <c r="F8" s="2">
        <v>100000</v>
      </c>
      <c r="G8" s="2">
        <v>10500000</v>
      </c>
      <c r="H8" s="2">
        <v>9500000</v>
      </c>
      <c r="I8" s="2">
        <v>100000</v>
      </c>
      <c r="L8" s="14" t="str">
        <f t="shared" si="0"/>
        <v>TI 6AL-4V, AMS4930 0.000-0.250"</v>
      </c>
      <c r="M8" s="14" t="s">
        <v>80</v>
      </c>
      <c r="N8" s="14" t="s">
        <v>81</v>
      </c>
      <c r="O8" s="14" t="s">
        <v>82</v>
      </c>
      <c r="R8" s="4" t="s">
        <v>66</v>
      </c>
    </row>
    <row r="9" spans="1:18" x14ac:dyDescent="0.25">
      <c r="C9" s="2"/>
      <c r="D9" s="2"/>
      <c r="E9" s="16">
        <v>70</v>
      </c>
      <c r="F9" s="2"/>
      <c r="G9" s="2">
        <v>65000</v>
      </c>
      <c r="H9" s="2">
        <v>55000</v>
      </c>
      <c r="I9" s="2">
        <v>45000</v>
      </c>
      <c r="L9" s="14" t="str">
        <f t="shared" si="0"/>
        <v xml:space="preserve">  </v>
      </c>
      <c r="R9" s="4" t="s">
        <v>59</v>
      </c>
    </row>
    <row r="10" spans="1:18" x14ac:dyDescent="0.25">
      <c r="A10" s="1" t="s">
        <v>14</v>
      </c>
      <c r="B10" s="3" t="s">
        <v>30</v>
      </c>
      <c r="C10" s="1">
        <v>4000</v>
      </c>
      <c r="D10" s="2">
        <v>3000000</v>
      </c>
      <c r="E10" s="2">
        <v>9500000</v>
      </c>
      <c r="F10" s="2">
        <v>100000</v>
      </c>
      <c r="G10" s="2">
        <v>10500000</v>
      </c>
      <c r="H10" s="2">
        <v>9500000</v>
      </c>
      <c r="I10" s="2">
        <v>100000</v>
      </c>
      <c r="L10" s="14" t="str">
        <f t="shared" si="0"/>
        <v xml:space="preserve">  </v>
      </c>
      <c r="P10" s="14" t="s">
        <v>72</v>
      </c>
      <c r="R10" s="4" t="s">
        <v>63</v>
      </c>
    </row>
    <row r="11" spans="1:18" x14ac:dyDescent="0.25">
      <c r="A11" s="1" t="s">
        <v>14</v>
      </c>
      <c r="B11" s="3" t="s">
        <v>30</v>
      </c>
      <c r="C11" s="1">
        <v>5000</v>
      </c>
      <c r="D11" s="2">
        <v>4000000</v>
      </c>
      <c r="E11" s="2">
        <v>9500000</v>
      </c>
      <c r="F11" s="2">
        <v>100000</v>
      </c>
      <c r="G11" s="2">
        <v>10500000</v>
      </c>
      <c r="H11" s="2">
        <v>9500000</v>
      </c>
      <c r="I11" s="2">
        <v>100000</v>
      </c>
      <c r="L11" s="14" t="str">
        <f t="shared" si="0"/>
        <v xml:space="preserve">  </v>
      </c>
      <c r="P11" s="14" t="s">
        <v>72</v>
      </c>
      <c r="R11" s="4" t="s">
        <v>64</v>
      </c>
    </row>
    <row r="12" spans="1:18" x14ac:dyDescent="0.25">
      <c r="C12" s="2"/>
      <c r="D12" s="2"/>
      <c r="E12" s="16">
        <v>70</v>
      </c>
      <c r="F12" s="2"/>
      <c r="G12" s="2">
        <v>65000</v>
      </c>
      <c r="H12" s="2">
        <v>55000</v>
      </c>
      <c r="I12" s="2">
        <v>45000</v>
      </c>
      <c r="L12" s="14" t="str">
        <f t="shared" si="0"/>
        <v xml:space="preserve">  </v>
      </c>
      <c r="R12" s="4" t="s">
        <v>18</v>
      </c>
    </row>
    <row r="13" spans="1:18" x14ac:dyDescent="0.25">
      <c r="A13" s="1" t="s">
        <v>14</v>
      </c>
      <c r="B13" s="3" t="s">
        <v>30</v>
      </c>
      <c r="C13" s="1">
        <v>6000</v>
      </c>
      <c r="D13" s="2">
        <v>5000000</v>
      </c>
      <c r="E13" s="2">
        <v>8800000</v>
      </c>
      <c r="F13" s="2">
        <v>1000</v>
      </c>
      <c r="G13" s="2">
        <v>15000000</v>
      </c>
      <c r="H13" s="2">
        <v>15000000</v>
      </c>
      <c r="I13" s="2">
        <v>1500000</v>
      </c>
      <c r="L13" s="14" t="str">
        <f t="shared" si="0"/>
        <v xml:space="preserve">  </v>
      </c>
      <c r="P13" s="14" t="s">
        <v>72</v>
      </c>
      <c r="R13" s="4" t="s">
        <v>61</v>
      </c>
    </row>
    <row r="14" spans="1:18" x14ac:dyDescent="0.25">
      <c r="B14" s="3" t="s">
        <v>30</v>
      </c>
      <c r="C14" s="1">
        <v>7000</v>
      </c>
      <c r="D14" s="2">
        <v>6000000</v>
      </c>
      <c r="E14" s="2">
        <v>9500000</v>
      </c>
      <c r="F14" s="2">
        <v>100000</v>
      </c>
      <c r="G14" s="2">
        <v>10500000</v>
      </c>
      <c r="H14" s="2">
        <v>9500000</v>
      </c>
      <c r="I14" s="2">
        <v>100000</v>
      </c>
      <c r="L14" s="14" t="str">
        <f t="shared" si="0"/>
        <v xml:space="preserve">  </v>
      </c>
      <c r="P14" s="14" t="s">
        <v>72</v>
      </c>
      <c r="R14" s="4" t="s">
        <v>62</v>
      </c>
    </row>
    <row r="15" spans="1:18" x14ac:dyDescent="0.25">
      <c r="A15" s="1" t="s">
        <v>14</v>
      </c>
      <c r="B15" s="3" t="s">
        <v>30</v>
      </c>
      <c r="C15" s="1">
        <v>8000</v>
      </c>
      <c r="D15" s="2">
        <v>7000000</v>
      </c>
      <c r="E15" s="2">
        <v>9500000</v>
      </c>
      <c r="F15" s="2">
        <v>100000</v>
      </c>
      <c r="G15" s="2">
        <v>10500000</v>
      </c>
      <c r="H15" s="2">
        <v>9500000</v>
      </c>
      <c r="I15" s="2">
        <v>100000</v>
      </c>
      <c r="L15" s="14" t="str">
        <f t="shared" si="0"/>
        <v xml:space="preserve">  </v>
      </c>
      <c r="P15" s="14" t="s">
        <v>72</v>
      </c>
    </row>
    <row r="16" spans="1:18" x14ac:dyDescent="0.25">
      <c r="B16" s="3">
        <v>100</v>
      </c>
      <c r="C16" s="2">
        <v>1000</v>
      </c>
      <c r="D16" s="2">
        <v>8000000</v>
      </c>
      <c r="E16" s="16">
        <v>70</v>
      </c>
      <c r="F16" s="2">
        <v>50</v>
      </c>
      <c r="G16" s="2">
        <v>65000</v>
      </c>
      <c r="H16" s="2">
        <v>55000</v>
      </c>
      <c r="I16" s="2">
        <v>45000</v>
      </c>
      <c r="L16" s="14" t="str">
        <f t="shared" si="0"/>
        <v xml:space="preserve">  </v>
      </c>
    </row>
    <row r="17" spans="2:12" x14ac:dyDescent="0.25">
      <c r="B17" s="3">
        <v>0</v>
      </c>
      <c r="C17" s="1">
        <v>5</v>
      </c>
      <c r="D17" s="1">
        <v>5</v>
      </c>
      <c r="E17" s="1">
        <v>5</v>
      </c>
      <c r="F17" s="1">
        <v>6</v>
      </c>
      <c r="G17" s="1">
        <v>6</v>
      </c>
      <c r="H17" s="1">
        <v>6</v>
      </c>
      <c r="L17" s="14" t="str">
        <f t="shared" si="0"/>
        <v xml:space="preserve">  </v>
      </c>
    </row>
    <row r="18" spans="2:12" x14ac:dyDescent="0.25">
      <c r="L18" s="14" t="str">
        <f t="shared" si="0"/>
        <v xml:space="preserve">  </v>
      </c>
    </row>
    <row r="19" spans="2:12" x14ac:dyDescent="0.25">
      <c r="L19" s="14" t="str">
        <f t="shared" si="0"/>
        <v xml:space="preserve">  </v>
      </c>
    </row>
    <row r="20" spans="2:12" x14ac:dyDescent="0.25">
      <c r="L20" s="14" t="str">
        <f t="shared" si="0"/>
        <v xml:space="preserve">  </v>
      </c>
    </row>
  </sheetData>
  <dataConsolidate/>
  <mergeCells count="1">
    <mergeCell ref="A2:A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ateMATbdf">
                <anchor moveWithCells="1" sizeWithCells="1">
                  <from>
                    <xdr:col>17</xdr:col>
                    <xdr:colOff>9525</xdr:colOff>
                    <xdr:row>1</xdr:row>
                    <xdr:rowOff>66675</xdr:rowOff>
                  </from>
                  <to>
                    <xdr:col>17</xdr:col>
                    <xdr:colOff>1543050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R20"/>
  <sheetViews>
    <sheetView showGridLines="0" workbookViewId="0">
      <selection activeCell="P51" sqref="P51"/>
    </sheetView>
  </sheetViews>
  <sheetFormatPr defaultRowHeight="13.5" x14ac:dyDescent="0.25"/>
  <cols>
    <col min="1" max="1" width="9.875" style="1" bestFit="1" customWidth="1"/>
    <col min="2" max="2" width="9.125" style="3" customWidth="1"/>
    <col min="3" max="11" width="9.125" style="1" customWidth="1"/>
    <col min="12" max="12" width="37.75" style="14" bestFit="1" customWidth="1"/>
    <col min="13" max="13" width="8.875" style="14" bestFit="1" customWidth="1"/>
    <col min="14" max="14" width="22.25" style="14" bestFit="1" customWidth="1"/>
    <col min="15" max="15" width="13" style="14" bestFit="1" customWidth="1"/>
    <col min="16" max="16" width="14" style="14" bestFit="1" customWidth="1"/>
    <col min="17" max="17" width="9" style="1"/>
    <col min="18" max="18" width="20.625" style="4" customWidth="1"/>
    <col min="19" max="16384" width="9" style="1"/>
  </cols>
  <sheetData>
    <row r="1" spans="1:18" x14ac:dyDescent="0.25">
      <c r="A1" s="1" t="s">
        <v>15</v>
      </c>
      <c r="B1" s="3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8" x14ac:dyDescent="0.25">
      <c r="A2" s="26" t="s">
        <v>16</v>
      </c>
      <c r="B2" s="9" t="s">
        <v>46</v>
      </c>
      <c r="C2" s="10" t="s">
        <v>1</v>
      </c>
      <c r="D2" s="10" t="s">
        <v>47</v>
      </c>
      <c r="E2" s="10" t="s">
        <v>48</v>
      </c>
      <c r="F2" s="10" t="s">
        <v>49</v>
      </c>
      <c r="G2" s="11" t="s">
        <v>32</v>
      </c>
      <c r="H2" s="11" t="s">
        <v>50</v>
      </c>
      <c r="I2" s="11" t="s">
        <v>51</v>
      </c>
      <c r="J2" s="11" t="s">
        <v>5</v>
      </c>
      <c r="K2" s="12"/>
    </row>
    <row r="3" spans="1:18" x14ac:dyDescent="0.25">
      <c r="A3" s="28"/>
      <c r="B3" s="9" t="s">
        <v>37</v>
      </c>
      <c r="C3" s="10" t="s">
        <v>38</v>
      </c>
      <c r="D3" s="10" t="s">
        <v>7</v>
      </c>
      <c r="E3" s="10" t="s">
        <v>52</v>
      </c>
      <c r="F3" s="10" t="s">
        <v>53</v>
      </c>
      <c r="G3" s="11" t="s">
        <v>54</v>
      </c>
      <c r="H3" s="11" t="s">
        <v>55</v>
      </c>
      <c r="I3" s="11" t="s">
        <v>56</v>
      </c>
      <c r="J3" s="11"/>
      <c r="K3" s="12"/>
    </row>
    <row r="4" spans="1:18" x14ac:dyDescent="0.25">
      <c r="A4" s="27"/>
      <c r="B4" s="17" t="s">
        <v>8</v>
      </c>
      <c r="C4" s="18" t="s">
        <v>57</v>
      </c>
      <c r="D4" s="18" t="s">
        <v>58</v>
      </c>
      <c r="E4" s="18"/>
      <c r="F4" s="18"/>
      <c r="G4" s="18"/>
      <c r="H4" s="18"/>
      <c r="I4" s="18"/>
      <c r="J4" s="18"/>
      <c r="K4" s="19"/>
      <c r="L4" s="15" t="s">
        <v>13</v>
      </c>
      <c r="M4" s="15" t="s">
        <v>74</v>
      </c>
      <c r="N4" s="15" t="s">
        <v>75</v>
      </c>
      <c r="O4" s="15" t="s">
        <v>76</v>
      </c>
      <c r="P4" s="15" t="s">
        <v>70</v>
      </c>
    </row>
    <row r="5" spans="1:18" x14ac:dyDescent="0.25">
      <c r="A5" s="1" t="s">
        <v>14</v>
      </c>
      <c r="B5" s="3" t="s">
        <v>46</v>
      </c>
      <c r="C5" s="1">
        <v>3000</v>
      </c>
      <c r="D5" s="2">
        <v>8500000</v>
      </c>
      <c r="E5" s="2">
        <v>8500000</v>
      </c>
      <c r="F5" s="2">
        <v>0.1</v>
      </c>
      <c r="G5" s="2">
        <v>3600000</v>
      </c>
      <c r="H5" s="2">
        <v>10000</v>
      </c>
      <c r="I5" s="2">
        <v>10000</v>
      </c>
      <c r="J5" s="1">
        <v>5.8000000000000003E-2</v>
      </c>
      <c r="L5" s="14" t="str">
        <f>M5&amp;" "&amp;N5&amp;" "&amp;O5</f>
        <v>AL 7075-T73511 AMS-QQ250 0.125-0.250</v>
      </c>
      <c r="M5" s="14" t="s">
        <v>77</v>
      </c>
      <c r="N5" s="14" t="s">
        <v>78</v>
      </c>
      <c r="O5" s="14" t="s">
        <v>79</v>
      </c>
      <c r="P5" s="14" t="s">
        <v>71</v>
      </c>
    </row>
    <row r="6" spans="1:18" x14ac:dyDescent="0.25">
      <c r="B6" s="20">
        <v>9.9999999999999995E-7</v>
      </c>
      <c r="C6" s="2">
        <v>9.9999999999999995E-7</v>
      </c>
      <c r="D6" s="2">
        <v>70</v>
      </c>
      <c r="E6" s="2">
        <v>5.0000000000000001E-3</v>
      </c>
      <c r="F6" s="2">
        <v>5.0000000000000001E-3</v>
      </c>
      <c r="G6" s="2">
        <v>5.0000000000000001E-3</v>
      </c>
      <c r="H6" s="2">
        <v>5.0000000000000001E-3</v>
      </c>
      <c r="I6" s="2">
        <v>4.0000000000000001E-3</v>
      </c>
      <c r="L6" s="14" t="str">
        <f t="shared" ref="L6:L20" si="0">M6&amp;" "&amp;N6&amp;" "&amp;O6</f>
        <v xml:space="preserve">  </v>
      </c>
    </row>
    <row r="7" spans="1:18" ht="16.5" x14ac:dyDescent="0.25">
      <c r="C7" s="1">
        <v>1.5</v>
      </c>
      <c r="D7" s="2">
        <v>5.0000000000000001E-3</v>
      </c>
      <c r="L7" s="14" t="str">
        <f t="shared" si="0"/>
        <v xml:space="preserve">  </v>
      </c>
      <c r="R7" s="23" t="s">
        <v>17</v>
      </c>
    </row>
    <row r="8" spans="1:18" x14ac:dyDescent="0.25">
      <c r="A8" s="1" t="s">
        <v>14</v>
      </c>
      <c r="B8" s="3" t="s">
        <v>46</v>
      </c>
      <c r="C8" s="1">
        <v>3100</v>
      </c>
      <c r="D8" s="2">
        <v>8500000</v>
      </c>
      <c r="E8" s="2">
        <v>8500000</v>
      </c>
      <c r="F8" s="2">
        <v>0.1</v>
      </c>
      <c r="G8" s="2">
        <v>3600000</v>
      </c>
      <c r="H8" s="2">
        <v>10000</v>
      </c>
      <c r="I8" s="2">
        <v>10000</v>
      </c>
      <c r="J8" s="1">
        <v>5.8000000000000003E-2</v>
      </c>
      <c r="L8" s="14" t="str">
        <f t="shared" si="0"/>
        <v>TI 6AL-4V, AMS4930 0.000-0.250"</v>
      </c>
      <c r="M8" s="14" t="s">
        <v>80</v>
      </c>
      <c r="N8" s="14" t="s">
        <v>81</v>
      </c>
      <c r="O8" s="14" t="s">
        <v>82</v>
      </c>
      <c r="R8" s="4" t="s">
        <v>65</v>
      </c>
    </row>
    <row r="9" spans="1:18" x14ac:dyDescent="0.25">
      <c r="B9" s="20">
        <v>9.9999999999999995E-7</v>
      </c>
      <c r="C9" s="2">
        <v>9.9999999999999995E-7</v>
      </c>
      <c r="D9" s="2">
        <v>70</v>
      </c>
      <c r="E9" s="2">
        <v>5.0000000000000001E-3</v>
      </c>
      <c r="F9" s="2">
        <v>5.0000000000000001E-3</v>
      </c>
      <c r="G9" s="2">
        <v>5.0000000000000001E-3</v>
      </c>
      <c r="H9" s="2">
        <v>5.0000000000000001E-3</v>
      </c>
      <c r="I9" s="2">
        <v>4.0000000000000001E-3</v>
      </c>
      <c r="L9" s="14" t="str">
        <f t="shared" si="0"/>
        <v xml:space="preserve">  </v>
      </c>
      <c r="R9" s="4" t="s">
        <v>59</v>
      </c>
    </row>
    <row r="10" spans="1:18" x14ac:dyDescent="0.25">
      <c r="C10" s="1">
        <v>1.5</v>
      </c>
      <c r="D10" s="2">
        <v>5.0000000000000001E-3</v>
      </c>
      <c r="L10" s="14" t="str">
        <f t="shared" si="0"/>
        <v xml:space="preserve">  </v>
      </c>
      <c r="R10" s="4" t="s">
        <v>63</v>
      </c>
    </row>
    <row r="11" spans="1:18" x14ac:dyDescent="0.25">
      <c r="A11" s="1" t="s">
        <v>14</v>
      </c>
      <c r="B11" s="3" t="s">
        <v>46</v>
      </c>
      <c r="C11" s="1">
        <v>3200</v>
      </c>
      <c r="D11" s="2">
        <v>8500000</v>
      </c>
      <c r="E11" s="2">
        <v>8500000</v>
      </c>
      <c r="F11" s="2">
        <v>0.1</v>
      </c>
      <c r="G11" s="2">
        <v>3600000</v>
      </c>
      <c r="H11" s="2">
        <v>10000</v>
      </c>
      <c r="I11" s="2">
        <v>10000</v>
      </c>
      <c r="J11" s="1">
        <v>5.8000000000000003E-2</v>
      </c>
      <c r="L11" s="14" t="str">
        <f t="shared" si="0"/>
        <v xml:space="preserve">  </v>
      </c>
      <c r="P11" s="14" t="s">
        <v>72</v>
      </c>
      <c r="R11" s="4" t="s">
        <v>64</v>
      </c>
    </row>
    <row r="12" spans="1:18" x14ac:dyDescent="0.25">
      <c r="B12" s="20">
        <v>9.9999999999999995E-7</v>
      </c>
      <c r="C12" s="2">
        <v>9.9999999999999995E-7</v>
      </c>
      <c r="D12" s="2">
        <v>70</v>
      </c>
      <c r="E12" s="2">
        <v>5.0000000000000001E-3</v>
      </c>
      <c r="F12" s="2">
        <v>5.0000000000000001E-3</v>
      </c>
      <c r="G12" s="2">
        <v>5.0000000000000001E-3</v>
      </c>
      <c r="H12" s="2">
        <v>5.0000000000000001E-3</v>
      </c>
      <c r="I12" s="2">
        <v>4.0000000000000001E-3</v>
      </c>
      <c r="L12" s="14" t="str">
        <f t="shared" si="0"/>
        <v xml:space="preserve">  </v>
      </c>
      <c r="R12" s="4" t="s">
        <v>18</v>
      </c>
    </row>
    <row r="13" spans="1:18" x14ac:dyDescent="0.25">
      <c r="C13" s="1">
        <v>1.5</v>
      </c>
      <c r="D13" s="2">
        <v>5.0000000000000001E-3</v>
      </c>
      <c r="L13" s="14" t="str">
        <f t="shared" si="0"/>
        <v xml:space="preserve">  </v>
      </c>
      <c r="R13" s="4" t="s">
        <v>61</v>
      </c>
    </row>
    <row r="14" spans="1:18" x14ac:dyDescent="0.25">
      <c r="A14" s="1" t="s">
        <v>14</v>
      </c>
      <c r="B14" s="3" t="s">
        <v>46</v>
      </c>
      <c r="C14" s="1">
        <v>3300</v>
      </c>
      <c r="D14" s="2">
        <v>8500000</v>
      </c>
      <c r="E14" s="2">
        <v>8500000</v>
      </c>
      <c r="F14" s="2">
        <v>0.1</v>
      </c>
      <c r="G14" s="2">
        <v>3600000</v>
      </c>
      <c r="H14" s="2">
        <v>10000</v>
      </c>
      <c r="I14" s="2">
        <v>10000</v>
      </c>
      <c r="J14" s="1">
        <v>5.8000000000000003E-2</v>
      </c>
      <c r="L14" s="14" t="str">
        <f t="shared" si="0"/>
        <v xml:space="preserve">  </v>
      </c>
      <c r="P14" s="14" t="s">
        <v>72</v>
      </c>
      <c r="R14" s="4" t="s">
        <v>62</v>
      </c>
    </row>
    <row r="15" spans="1:18" x14ac:dyDescent="0.25">
      <c r="B15" s="20">
        <v>9.9999999999999995E-7</v>
      </c>
      <c r="C15" s="2">
        <v>9.9999999999999995E-7</v>
      </c>
      <c r="D15" s="2">
        <v>70</v>
      </c>
      <c r="E15" s="2">
        <v>5.0000000000000001E-3</v>
      </c>
      <c r="F15" s="2">
        <v>5.0000000000000001E-3</v>
      </c>
      <c r="G15" s="2">
        <v>5.0000000000000001E-3</v>
      </c>
      <c r="H15" s="2">
        <v>5.0000000000000001E-3</v>
      </c>
      <c r="I15" s="2">
        <v>4.0000000000000001E-3</v>
      </c>
      <c r="L15" s="14" t="str">
        <f t="shared" si="0"/>
        <v xml:space="preserve">  </v>
      </c>
    </row>
    <row r="16" spans="1:18" x14ac:dyDescent="0.25">
      <c r="C16" s="1">
        <v>1.5</v>
      </c>
      <c r="D16" s="2">
        <v>5.0000000000000001E-3</v>
      </c>
      <c r="L16" s="14" t="str">
        <f t="shared" si="0"/>
        <v xml:space="preserve">  </v>
      </c>
    </row>
    <row r="17" spans="12:12" x14ac:dyDescent="0.25">
      <c r="L17" s="14" t="str">
        <f t="shared" si="0"/>
        <v xml:space="preserve">  </v>
      </c>
    </row>
    <row r="18" spans="12:12" x14ac:dyDescent="0.25">
      <c r="L18" s="14" t="str">
        <f t="shared" si="0"/>
        <v xml:space="preserve">  </v>
      </c>
    </row>
    <row r="19" spans="12:12" x14ac:dyDescent="0.25">
      <c r="L19" s="14" t="str">
        <f t="shared" si="0"/>
        <v xml:space="preserve">  </v>
      </c>
    </row>
    <row r="20" spans="12:12" x14ac:dyDescent="0.25">
      <c r="L20" s="14" t="str">
        <f t="shared" si="0"/>
        <v xml:space="preserve">  </v>
      </c>
    </row>
  </sheetData>
  <mergeCells count="1">
    <mergeCell ref="A2:A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enerateMATbdf">
                <anchor moveWithCells="1" sizeWithCells="1">
                  <from>
                    <xdr:col>17</xdr:col>
                    <xdr:colOff>9525</xdr:colOff>
                    <xdr:row>1</xdr:row>
                    <xdr:rowOff>66675</xdr:rowOff>
                  </from>
                  <to>
                    <xdr:col>17</xdr:col>
                    <xdr:colOff>1543050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6"/>
  <sheetViews>
    <sheetView workbookViewId="0">
      <selection activeCell="H44" sqref="H44"/>
    </sheetView>
  </sheetViews>
  <sheetFormatPr defaultRowHeight="13.5" x14ac:dyDescent="0.25"/>
  <cols>
    <col min="1" max="9" width="8" customWidth="1"/>
  </cols>
  <sheetData>
    <row r="1" spans="1:1" x14ac:dyDescent="0.25">
      <c r="A1" t="s">
        <v>26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27</v>
      </c>
    </row>
    <row r="5" spans="1:1" x14ac:dyDescent="0.25">
      <c r="A5" t="s">
        <v>26</v>
      </c>
    </row>
    <row r="6" spans="1:1" x14ac:dyDescent="0.25">
      <c r="A6" t="s">
        <v>27</v>
      </c>
    </row>
    <row r="7" spans="1:1" x14ac:dyDescent="0.25">
      <c r="A7" t="s">
        <v>29</v>
      </c>
    </row>
    <row r="8" spans="1:1" x14ac:dyDescent="0.25">
      <c r="A8" t="s">
        <v>27</v>
      </c>
    </row>
    <row r="9" spans="1:1" x14ac:dyDescent="0.25">
      <c r="A9" t="s">
        <v>26</v>
      </c>
    </row>
    <row r="10" spans="1:1" x14ac:dyDescent="0.25">
      <c r="A10" t="s">
        <v>83</v>
      </c>
    </row>
    <row r="11" spans="1:1" x14ac:dyDescent="0.25">
      <c r="A11" t="s">
        <v>24</v>
      </c>
    </row>
    <row r="12" spans="1:1" x14ac:dyDescent="0.25">
      <c r="A12" t="s">
        <v>84</v>
      </c>
    </row>
    <row r="13" spans="1:1" x14ac:dyDescent="0.25">
      <c r="A13" t="s">
        <v>85</v>
      </c>
    </row>
    <row r="14" spans="1:1" x14ac:dyDescent="0.25">
      <c r="A14" t="s">
        <v>92</v>
      </c>
    </row>
    <row r="15" spans="1:1" x14ac:dyDescent="0.25">
      <c r="A15" t="s">
        <v>93</v>
      </c>
    </row>
    <row r="16" spans="1:1" x14ac:dyDescent="0.25">
      <c r="A16" t="s">
        <v>94</v>
      </c>
    </row>
    <row r="17" spans="1:1" x14ac:dyDescent="0.25">
      <c r="A17" t="s">
        <v>24</v>
      </c>
    </row>
    <row r="18" spans="1:1" x14ac:dyDescent="0.25">
      <c r="A18" t="s">
        <v>86</v>
      </c>
    </row>
    <row r="19" spans="1:1" x14ac:dyDescent="0.25">
      <c r="A19" t="s">
        <v>87</v>
      </c>
    </row>
    <row r="20" spans="1:1" x14ac:dyDescent="0.25">
      <c r="A20" t="s">
        <v>95</v>
      </c>
    </row>
    <row r="21" spans="1:1" x14ac:dyDescent="0.25">
      <c r="A21" t="s">
        <v>93</v>
      </c>
    </row>
    <row r="22" spans="1:1" x14ac:dyDescent="0.25">
      <c r="A22" t="s">
        <v>94</v>
      </c>
    </row>
    <row r="23" spans="1:1" x14ac:dyDescent="0.25">
      <c r="A23" t="s">
        <v>24</v>
      </c>
    </row>
    <row r="24" spans="1:1" x14ac:dyDescent="0.25">
      <c r="A24" t="s">
        <v>88</v>
      </c>
    </row>
    <row r="25" spans="1:1" x14ac:dyDescent="0.25">
      <c r="A25" t="s">
        <v>89</v>
      </c>
    </row>
    <row r="26" spans="1:1" x14ac:dyDescent="0.25">
      <c r="A26" t="s">
        <v>96</v>
      </c>
    </row>
    <row r="27" spans="1:1" x14ac:dyDescent="0.25">
      <c r="A27" t="s">
        <v>93</v>
      </c>
    </row>
    <row r="28" spans="1:1" x14ac:dyDescent="0.25">
      <c r="A28" t="s">
        <v>94</v>
      </c>
    </row>
    <row r="29" spans="1:1" x14ac:dyDescent="0.25">
      <c r="A29" t="s">
        <v>24</v>
      </c>
    </row>
    <row r="30" spans="1:1" x14ac:dyDescent="0.25">
      <c r="A30" t="s">
        <v>90</v>
      </c>
    </row>
    <row r="31" spans="1:1" x14ac:dyDescent="0.25">
      <c r="A31" t="s">
        <v>91</v>
      </c>
    </row>
    <row r="32" spans="1:1" x14ac:dyDescent="0.25">
      <c r="A32" t="s">
        <v>97</v>
      </c>
    </row>
    <row r="33" spans="1:1" x14ac:dyDescent="0.25">
      <c r="A33" t="s">
        <v>93</v>
      </c>
    </row>
    <row r="34" spans="1:1" x14ac:dyDescent="0.25">
      <c r="A34" t="s">
        <v>94</v>
      </c>
    </row>
    <row r="35" spans="1:1" x14ac:dyDescent="0.25">
      <c r="A35" t="s">
        <v>24</v>
      </c>
    </row>
    <row r="36" spans="1:1" x14ac:dyDescent="0.25">
      <c r="A36" t="s"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Rev History</vt:lpstr>
      <vt:lpstr>MAT1</vt:lpstr>
      <vt:lpstr>MAT2</vt:lpstr>
      <vt:lpstr>MAT8</vt:lpstr>
      <vt:lpstr>Output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2020-09-18T19:28:42Z</dcterms:created>
  <dcterms:modified xsi:type="dcterms:W3CDTF">2020-09-20T00:08:19Z</dcterms:modified>
</cp:coreProperties>
</file>